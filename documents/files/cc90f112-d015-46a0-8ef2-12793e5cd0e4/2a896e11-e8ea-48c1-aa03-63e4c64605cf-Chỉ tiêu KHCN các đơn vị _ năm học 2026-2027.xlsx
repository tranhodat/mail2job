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t\Downloads\"/>
    </mc:Choice>
  </mc:AlternateContent>
  <xr:revisionPtr revIDLastSave="0" documentId="13_ncr:1_{7AF09A97-5983-436E-8FBC-E9E773BC4141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Đề tài KHCN" sheetId="1" r:id="rId1"/>
    <sheet name="Bài báo" sheetId="2" r:id="rId2"/>
    <sheet name="Giáo trình, HLS" sheetId="3" r:id="rId3"/>
    <sheet name="Hội thảo" sheetId="4" r:id="rId4"/>
    <sheet name="Hoạt động Hợp tác" sheetId="5" r:id="rId5"/>
    <sheet name="SHTT" sheetId="6" r:id="rId6"/>
  </sheets>
  <calcPr calcId="191029"/>
</workbook>
</file>

<file path=xl/calcChain.xml><?xml version="1.0" encoding="utf-8"?>
<calcChain xmlns="http://schemas.openxmlformats.org/spreadsheetml/2006/main">
  <c r="E7" i="3" l="1"/>
  <c r="I12" i="3"/>
  <c r="H12" i="3"/>
  <c r="G12" i="3"/>
  <c r="F12" i="3"/>
  <c r="E12" i="3"/>
  <c r="D12" i="3"/>
  <c r="C12" i="3"/>
  <c r="B12" i="3"/>
  <c r="I11" i="3"/>
  <c r="H11" i="3"/>
  <c r="G11" i="3"/>
  <c r="F11" i="3"/>
  <c r="E11" i="3"/>
  <c r="D11" i="3"/>
  <c r="C11" i="3"/>
  <c r="B11" i="3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<sst xmlns="http://schemas.openxmlformats.org/spreadsheetml/2006/main" count="95" uniqueCount="45">
  <si>
    <r>
      <rPr>
        <sz val="16"/>
        <color theme="1"/>
        <rFont val="Times New Roman"/>
        <family val="1"/>
      </rPr>
      <t xml:space="preserve">Chỉ tiêu </t>
    </r>
    <r>
      <rPr>
        <b/>
        <sz val="16"/>
        <color theme="1"/>
        <rFont val="Times New Roman"/>
        <family val="1"/>
      </rPr>
      <t xml:space="preserve">giáo trình, sách, học liệu phục vụ giảng dạy </t>
    </r>
    <r>
      <rPr>
        <sz val="16"/>
        <color theme="1"/>
        <rFont val="Times New Roman"/>
        <family val="1"/>
      </rPr>
      <t>trong năm học 2026-2027 cho các Khoa như sau:</t>
    </r>
  </si>
  <si>
    <r>
      <rPr>
        <sz val="18"/>
        <color theme="1"/>
        <rFont val="Times New Roman"/>
        <family val="1"/>
      </rPr>
      <t>Chỉ tiêu tổ chức</t>
    </r>
    <r>
      <rPr>
        <b/>
        <sz val="18"/>
        <color theme="1"/>
        <rFont val="Times New Roman"/>
        <family val="1"/>
      </rPr>
      <t xml:space="preserve"> Hội thảo các cấp</t>
    </r>
    <r>
      <rPr>
        <sz val="18"/>
        <color theme="1"/>
        <rFont val="Times New Roman"/>
        <family val="1"/>
      </rPr>
      <t xml:space="preserve"> trong năm học 2026-2027 cho các Khoa như sau:</t>
    </r>
  </si>
  <si>
    <r>
      <rPr>
        <sz val="20"/>
        <color theme="1"/>
        <rFont val="Times New Roman"/>
        <family val="1"/>
      </rPr>
      <t xml:space="preserve">Chỉ tiêu </t>
    </r>
    <r>
      <rPr>
        <b/>
        <sz val="20"/>
        <color theme="1"/>
        <rFont val="Times New Roman"/>
        <family val="1"/>
      </rPr>
      <t>công bố khoa học</t>
    </r>
    <r>
      <rPr>
        <sz val="20"/>
        <color theme="1"/>
        <rFont val="Times New Roman"/>
        <family val="1"/>
      </rPr>
      <t xml:space="preserve"> trong năm học 2026-2027 cho các Khoa như sau:</t>
    </r>
  </si>
  <si>
    <r>
      <rPr>
        <sz val="20"/>
        <color theme="1"/>
        <rFont val="Times New Roman"/>
        <family val="1"/>
      </rPr>
      <t xml:space="preserve">Chỉ tiêu </t>
    </r>
    <r>
      <rPr>
        <b/>
        <sz val="20"/>
        <color theme="1"/>
        <rFont val="Times New Roman"/>
        <family val="1"/>
      </rPr>
      <t>đề tài KHCN</t>
    </r>
    <r>
      <rPr>
        <sz val="20"/>
        <color theme="1"/>
        <rFont val="Times New Roman"/>
        <family val="1"/>
      </rPr>
      <t xml:space="preserve"> trong năm học 2026-2027 cho các Khoa như sau:</t>
    </r>
  </si>
  <si>
    <t>Chỉ tiêu</t>
  </si>
  <si>
    <t>Khoa chuyên môn</t>
  </si>
  <si>
    <t xml:space="preserve">Cộng </t>
  </si>
  <si>
    <t>Cơ khí</t>
  </si>
  <si>
    <t>CK-ĐL</t>
  </si>
  <si>
    <t>Điện-ĐT</t>
  </si>
  <si>
    <t>CNTT</t>
  </si>
  <si>
    <t>CNNN</t>
  </si>
  <si>
    <t>KD&amp;L</t>
  </si>
  <si>
    <t>SP-XHNV</t>
  </si>
  <si>
    <t>Giáo trình/sách
 (Số đã xuất bản)</t>
  </si>
  <si>
    <t>Hội thảo cấp Trường 
(số lượt/năm)</t>
  </si>
  <si>
    <t>Giáo trình/sách
 (Số đăng ký soạn năm học 2026-2027)</t>
  </si>
  <si>
    <t>Học liệu số
(Số học liệu đã thẩm định)</t>
  </si>
  <si>
    <t>Hội thảo cấp Khoa 
(số lượt/năm)</t>
  </si>
  <si>
    <t>Học liệu số
(Số đăng ký soạn năm học 2026-2027)</t>
  </si>
  <si>
    <t>Tổng số Chương trình đào tạo Khoa quản lý</t>
  </si>
  <si>
    <t>Tổng số học phần Khoa quản lý</t>
  </si>
  <si>
    <t>Tỷ lệ giáo trình 
(số giáo trình/tổng số HP)</t>
  </si>
  <si>
    <t>Bài báo tạp chí WoS/Scopus 
(bài)</t>
  </si>
  <si>
    <t>Bài báo tạp chí trong nước 
(bài)</t>
  </si>
  <si>
    <t>Bài báo tạp chí VLUTE 
(bài)</t>
  </si>
  <si>
    <t>Hội nghị/hội thảo
 (bài/tham luận)</t>
  </si>
  <si>
    <t>Tổng số GV của Khoa</t>
  </si>
  <si>
    <t>Tỷ lệ học liệu số
(số HLS/tổng số HP)</t>
  </si>
  <si>
    <r>
      <rPr>
        <b/>
        <sz val="13"/>
        <color rgb="FFFF0000"/>
        <rFont val="Times New Roman"/>
        <family val="1"/>
      </rPr>
      <t>Tỷ lệ 
(B</t>
    </r>
    <r>
      <rPr>
        <sz val="13"/>
        <color rgb="FFFF0000"/>
        <rFont val="Times New Roman"/>
        <family val="1"/>
      </rPr>
      <t>ài báo quốc t</t>
    </r>
    <r>
      <rPr>
        <b/>
        <sz val="13"/>
        <color rgb="FFFF0000"/>
        <rFont val="Times New Roman"/>
        <family val="1"/>
      </rPr>
      <t>ế/GV)</t>
    </r>
  </si>
  <si>
    <t>Đề tài Cấp Bộ 
(số lượng)</t>
  </si>
  <si>
    <t>Đề tài Cấp Tỉnh
(số lượng)</t>
  </si>
  <si>
    <t>Đề tài cấp cơ sở 
(số lượng)</t>
  </si>
  <si>
    <r>
      <rPr>
        <sz val="13"/>
        <color theme="1"/>
        <rFont val="Times New Roman"/>
        <family val="1"/>
      </rPr>
      <t>Đề tài khác (</t>
    </r>
    <r>
      <rPr>
        <i/>
        <sz val="13"/>
        <color theme="1"/>
        <rFont val="Times New Roman"/>
        <family val="1"/>
      </rPr>
      <t xml:space="preserve">Doanh nghiệp, quỹ Nafosted, Nafosted – FWO, …)
</t>
    </r>
    <r>
      <rPr>
        <sz val="13"/>
        <color theme="1"/>
        <rFont val="Times New Roman"/>
        <family val="1"/>
      </rPr>
      <t>(số lượng)</t>
    </r>
  </si>
  <si>
    <t>Tỷ lệ 
(Bài báo trong nước/GV)</t>
  </si>
  <si>
    <t>Ghi chú: Mức tối thiểu công bố khoa học của GV/năm là 0,6 công bố/giảng viên/năm, trong đó ≥0,3 công bố/giảng viên/năm thuộc WoS/Scopus.</t>
  </si>
  <si>
    <t xml:space="preserve"> Chỉ tiêu được xây dựng tham chiếu Thông tư số 01/2024/TT-BGDĐT ngày 05/02/2024 của Bộ GD&amp;ĐT </t>
  </si>
  <si>
    <r>
      <rPr>
        <sz val="18"/>
        <color theme="1"/>
        <rFont val="Times New Roman"/>
        <family val="1"/>
      </rPr>
      <t xml:space="preserve">Chỉ tiêu </t>
    </r>
    <r>
      <rPr>
        <b/>
        <sz val="18"/>
        <color theme="1"/>
        <rFont val="Times New Roman"/>
        <family val="1"/>
      </rPr>
      <t>Hoạt động hợp tác</t>
    </r>
    <r>
      <rPr>
        <sz val="18"/>
        <color theme="1"/>
        <rFont val="Times New Roman"/>
        <family val="1"/>
      </rPr>
      <t xml:space="preserve"> trong năm học 2026-2027 cho các Khoa như sau:</t>
    </r>
  </si>
  <si>
    <t>Ký kết MOU/MOA đối tác trong nước
(số lượt/năm)</t>
  </si>
  <si>
    <t>Ký kết MOU/MOA đối tác ngoài nước
(số lượt/năm)</t>
  </si>
  <si>
    <t>Hoạt động hợp tác được triển khai sau ký kết
 (hoạt động/năm)</t>
  </si>
  <si>
    <t>Đoàn ra/vào về hợp tác quốc tế
(số lượt/năm)</t>
  </si>
  <si>
    <r>
      <rPr>
        <sz val="18"/>
        <color theme="1"/>
        <rFont val="Times New Roman"/>
        <family val="1"/>
      </rPr>
      <t xml:space="preserve">Chỉ tiêu </t>
    </r>
    <r>
      <rPr>
        <b/>
        <sz val="18"/>
        <color theme="1"/>
        <rFont val="Times New Roman"/>
        <family val="1"/>
      </rPr>
      <t xml:space="preserve">Sở hữu trí tuệ </t>
    </r>
    <r>
      <rPr>
        <sz val="18"/>
        <color theme="1"/>
        <rFont val="Times New Roman"/>
        <family val="1"/>
      </rPr>
      <t>trong năm học 2026-2027 cho các Khoa như sau:</t>
    </r>
  </si>
  <si>
    <t>Sáng chế
(số lượng)</t>
  </si>
  <si>
    <t>Giải pháp hữu ích
(số lượng)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</si>
</sst>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Calibri"/>
      <family val="2"/>
    </font>
    <font>
      <b/>
      <sz val="13"/>
      <color theme="1"/>
      <name val="Times New Roman"/>
      <family val="1"/>
    </font>
    <font>
      <sz val="11"/>
      <name val="Calibri"/>
      <family val="2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1"/>
      <color rgb="FFFF0000"/>
      <name val="Calibri"/>
      <family val="2"/>
    </font>
    <font>
      <b/>
      <i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5" fillId="8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5" fillId="5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F8" sqref="F8"/>
    </sheetView>
  </sheetViews>
  <sheetFormatPr defaultColWidth="14.44140625" defaultRowHeight="15" customHeight="1" x14ac:dyDescent="0.3"/>
  <cols>
    <col min="1" max="1" width="24.88671875" customWidth="1"/>
    <col min="2" max="2" width="14.33203125" customWidth="1"/>
    <col min="3" max="3" width="13.88671875" customWidth="1"/>
    <col min="4" max="4" width="13.33203125" customWidth="1"/>
    <col min="5" max="5" width="11.88671875" customWidth="1"/>
    <col min="6" max="6" width="14.33203125" customWidth="1"/>
    <col min="7" max="7" width="14.88671875" customWidth="1"/>
    <col min="8" max="8" width="16.88671875" customWidth="1"/>
    <col min="9" max="9" width="13" customWidth="1"/>
    <col min="10" max="26" width="8.6640625" customWidth="1"/>
  </cols>
  <sheetData>
    <row r="1" spans="1:9" ht="31.5" customHeight="1" x14ac:dyDescent="0.3">
      <c r="A1" s="23" t="s">
        <v>3</v>
      </c>
      <c r="B1" s="24"/>
      <c r="C1" s="24"/>
      <c r="D1" s="24"/>
      <c r="E1" s="24"/>
      <c r="F1" s="24"/>
      <c r="G1" s="24"/>
      <c r="H1" s="24"/>
      <c r="I1" s="24"/>
    </row>
    <row r="2" spans="1:9" ht="14.4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32.25" customHeight="1" x14ac:dyDescent="0.3">
      <c r="A3" s="25" t="s">
        <v>4</v>
      </c>
      <c r="B3" s="27" t="s">
        <v>5</v>
      </c>
      <c r="C3" s="28"/>
      <c r="D3" s="28"/>
      <c r="E3" s="28"/>
      <c r="F3" s="28"/>
      <c r="G3" s="28"/>
      <c r="H3" s="29"/>
      <c r="I3" s="25" t="s">
        <v>6</v>
      </c>
    </row>
    <row r="4" spans="1:9" ht="30" customHeight="1" x14ac:dyDescent="0.3">
      <c r="A4" s="26"/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26"/>
    </row>
    <row r="5" spans="1:9" ht="61.5" customHeight="1" x14ac:dyDescent="0.3">
      <c r="A5" s="4" t="s">
        <v>30</v>
      </c>
      <c r="B5" s="4"/>
      <c r="C5" s="4">
        <v>3</v>
      </c>
      <c r="D5" s="4"/>
      <c r="E5" s="4">
        <v>1</v>
      </c>
      <c r="F5" s="4"/>
      <c r="G5" s="4"/>
      <c r="H5" s="4"/>
      <c r="I5" s="4"/>
    </row>
    <row r="6" spans="1:9" ht="61.5" customHeight="1" x14ac:dyDescent="0.3">
      <c r="A6" s="4" t="s">
        <v>31</v>
      </c>
      <c r="B6" s="4"/>
      <c r="C6" s="4">
        <v>1</v>
      </c>
      <c r="D6" s="4"/>
      <c r="E6" s="4">
        <v>1</v>
      </c>
      <c r="F6" s="4"/>
      <c r="G6" s="4"/>
      <c r="H6" s="4"/>
      <c r="I6" s="4"/>
    </row>
    <row r="7" spans="1:9" ht="61.5" customHeight="1" x14ac:dyDescent="0.3">
      <c r="A7" s="4" t="s">
        <v>32</v>
      </c>
      <c r="B7" s="4"/>
      <c r="C7" s="4">
        <v>10</v>
      </c>
      <c r="D7" s="4"/>
      <c r="E7" s="4">
        <v>5</v>
      </c>
      <c r="F7" s="4"/>
      <c r="G7" s="4"/>
      <c r="H7" s="4"/>
      <c r="I7" s="4"/>
    </row>
    <row r="8" spans="1:9" ht="72.75" customHeight="1" x14ac:dyDescent="0.3">
      <c r="A8" s="4" t="s">
        <v>33</v>
      </c>
      <c r="B8" s="4"/>
      <c r="C8" s="4">
        <v>1</v>
      </c>
      <c r="D8" s="4"/>
      <c r="E8" s="4">
        <v>1</v>
      </c>
      <c r="F8" s="4"/>
      <c r="G8" s="4"/>
      <c r="H8" s="4"/>
      <c r="I8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I1"/>
    <mergeCell ref="A3:A4"/>
    <mergeCell ref="B3:H3"/>
    <mergeCell ref="I3:I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opLeftCell="A2" workbookViewId="0">
      <selection activeCell="E9" sqref="E9"/>
    </sheetView>
  </sheetViews>
  <sheetFormatPr defaultColWidth="14.44140625" defaultRowHeight="15" customHeight="1" x14ac:dyDescent="0.3"/>
  <cols>
    <col min="1" max="1" width="27.88671875" customWidth="1"/>
    <col min="2" max="2" width="14.33203125" customWidth="1"/>
    <col min="3" max="3" width="13.88671875" customWidth="1"/>
    <col min="4" max="4" width="13.33203125" customWidth="1"/>
    <col min="5" max="5" width="11.88671875" customWidth="1"/>
    <col min="6" max="6" width="14.33203125" customWidth="1"/>
    <col min="7" max="7" width="14.88671875" customWidth="1"/>
    <col min="8" max="8" width="16.88671875" customWidth="1"/>
    <col min="9" max="9" width="13" customWidth="1"/>
    <col min="10" max="26" width="8.6640625" customWidth="1"/>
  </cols>
  <sheetData>
    <row r="1" spans="1:9" ht="31.5" customHeight="1" x14ac:dyDescent="0.3">
      <c r="A1" s="23" t="s">
        <v>2</v>
      </c>
      <c r="B1" s="24"/>
      <c r="C1" s="24"/>
      <c r="D1" s="24"/>
      <c r="E1" s="24"/>
      <c r="F1" s="24"/>
      <c r="G1" s="24"/>
      <c r="H1" s="24"/>
      <c r="I1" s="24"/>
    </row>
    <row r="2" spans="1:9" ht="14.4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33.75" customHeight="1" x14ac:dyDescent="0.3">
      <c r="A3" s="30" t="s">
        <v>4</v>
      </c>
      <c r="B3" s="31" t="s">
        <v>5</v>
      </c>
      <c r="C3" s="28"/>
      <c r="D3" s="28"/>
      <c r="E3" s="28"/>
      <c r="F3" s="28"/>
      <c r="G3" s="28"/>
      <c r="H3" s="29"/>
      <c r="I3" s="30" t="s">
        <v>6</v>
      </c>
    </row>
    <row r="4" spans="1:9" ht="30" customHeight="1" x14ac:dyDescent="0.3">
      <c r="A4" s="26"/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26"/>
    </row>
    <row r="5" spans="1:9" ht="61.5" customHeight="1" x14ac:dyDescent="0.3">
      <c r="A5" s="4" t="s">
        <v>23</v>
      </c>
      <c r="B5" s="4"/>
      <c r="C5" s="4">
        <v>100</v>
      </c>
      <c r="D5" s="4"/>
      <c r="E5" s="4">
        <v>50</v>
      </c>
      <c r="F5" s="4"/>
      <c r="G5" s="4"/>
      <c r="H5" s="4"/>
      <c r="I5" s="4"/>
    </row>
    <row r="6" spans="1:9" ht="61.5" customHeight="1" x14ac:dyDescent="0.3">
      <c r="A6" s="4" t="s">
        <v>24</v>
      </c>
      <c r="B6" s="4"/>
      <c r="C6" s="4">
        <v>50</v>
      </c>
      <c r="D6" s="4"/>
      <c r="E6" s="4">
        <v>25</v>
      </c>
      <c r="F6" s="4"/>
      <c r="G6" s="4"/>
      <c r="H6" s="4"/>
      <c r="I6" s="4"/>
    </row>
    <row r="7" spans="1:9" ht="61.5" customHeight="1" x14ac:dyDescent="0.3">
      <c r="A7" s="4" t="s">
        <v>25</v>
      </c>
      <c r="B7" s="4"/>
      <c r="C7" s="4">
        <v>50</v>
      </c>
      <c r="D7" s="4"/>
      <c r="E7" s="4">
        <v>20</v>
      </c>
      <c r="F7" s="4"/>
      <c r="G7" s="4"/>
      <c r="H7" s="4"/>
      <c r="I7" s="4"/>
    </row>
    <row r="8" spans="1:9" ht="61.5" customHeight="1" x14ac:dyDescent="0.3">
      <c r="A8" s="4" t="s">
        <v>26</v>
      </c>
      <c r="B8" s="4"/>
      <c r="C8" s="4">
        <v>10</v>
      </c>
      <c r="D8" s="4"/>
      <c r="E8" s="4">
        <v>10</v>
      </c>
      <c r="F8" s="4"/>
      <c r="G8" s="4"/>
      <c r="H8" s="4"/>
      <c r="I8" s="4"/>
    </row>
    <row r="9" spans="1:9" ht="43.5" customHeight="1" x14ac:dyDescent="0.3">
      <c r="A9" s="8" t="s">
        <v>27</v>
      </c>
      <c r="B9" s="12"/>
      <c r="C9" s="12">
        <v>43</v>
      </c>
      <c r="D9" s="12"/>
      <c r="E9" s="12">
        <v>36</v>
      </c>
      <c r="F9" s="12"/>
      <c r="G9" s="12">
        <v>41</v>
      </c>
      <c r="H9" s="12"/>
      <c r="I9" s="12"/>
    </row>
    <row r="10" spans="1:9" ht="36.75" customHeight="1" x14ac:dyDescent="0.3">
      <c r="A10" s="13" t="s">
        <v>29</v>
      </c>
      <c r="B10" s="14" t="e">
        <f t="shared" ref="B10:I10" si="0">B5/B9</f>
        <v>#DIV/0!</v>
      </c>
      <c r="C10" s="14">
        <f t="shared" si="0"/>
        <v>2.3255813953488373</v>
      </c>
      <c r="D10" s="14" t="e">
        <f t="shared" si="0"/>
        <v>#DIV/0!</v>
      </c>
      <c r="E10" s="14">
        <f t="shared" si="0"/>
        <v>1.3888888888888888</v>
      </c>
      <c r="F10" s="14" t="e">
        <f t="shared" si="0"/>
        <v>#DIV/0!</v>
      </c>
      <c r="G10" s="14">
        <f t="shared" si="0"/>
        <v>0</v>
      </c>
      <c r="H10" s="14" t="e">
        <f t="shared" si="0"/>
        <v>#DIV/0!</v>
      </c>
      <c r="I10" s="14" t="e">
        <f t="shared" si="0"/>
        <v>#DIV/0!</v>
      </c>
    </row>
    <row r="11" spans="1:9" ht="33.6" x14ac:dyDescent="0.3">
      <c r="A11" s="13" t="s">
        <v>34</v>
      </c>
      <c r="B11" s="14" t="e">
        <f t="shared" ref="B11:I11" si="1">B6/B9</f>
        <v>#DIV/0!</v>
      </c>
      <c r="C11" s="14">
        <f t="shared" si="1"/>
        <v>1.1627906976744187</v>
      </c>
      <c r="D11" s="14" t="e">
        <f t="shared" si="1"/>
        <v>#DIV/0!</v>
      </c>
      <c r="E11" s="14">
        <f t="shared" si="1"/>
        <v>0.69444444444444442</v>
      </c>
      <c r="F11" s="14" t="e">
        <f t="shared" si="1"/>
        <v>#DIV/0!</v>
      </c>
      <c r="G11" s="14">
        <f t="shared" si="1"/>
        <v>0</v>
      </c>
      <c r="H11" s="14" t="e">
        <f t="shared" si="1"/>
        <v>#DIV/0!</v>
      </c>
      <c r="I11" s="14" t="e">
        <f t="shared" si="1"/>
        <v>#DIV/0!</v>
      </c>
    </row>
    <row r="14" spans="1:9" ht="25.5" customHeight="1" x14ac:dyDescent="0.35">
      <c r="A14" s="15" t="s">
        <v>35</v>
      </c>
      <c r="B14" s="16"/>
      <c r="C14" s="16"/>
      <c r="D14" s="16"/>
      <c r="E14" s="16"/>
      <c r="F14" s="16"/>
      <c r="G14" s="16"/>
      <c r="H14" s="16"/>
      <c r="I14" s="17"/>
    </row>
    <row r="15" spans="1:9" ht="30.75" customHeight="1" x14ac:dyDescent="0.35">
      <c r="A15" s="18" t="s">
        <v>36</v>
      </c>
      <c r="B15" s="16"/>
      <c r="C15" s="16"/>
      <c r="D15" s="16"/>
      <c r="E15" s="16"/>
      <c r="F15" s="16"/>
      <c r="G15" s="16"/>
      <c r="H15" s="16"/>
      <c r="I15" s="1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I1"/>
    <mergeCell ref="A3:A4"/>
    <mergeCell ref="B3:H3"/>
    <mergeCell ref="I3:I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abSelected="1" workbookViewId="0">
      <selection activeCell="K8" sqref="K8"/>
    </sheetView>
  </sheetViews>
  <sheetFormatPr defaultColWidth="14.44140625" defaultRowHeight="15" customHeight="1" x14ac:dyDescent="0.3"/>
  <cols>
    <col min="1" max="1" width="29.33203125" customWidth="1"/>
    <col min="2" max="2" width="14.33203125" customWidth="1"/>
    <col min="3" max="3" width="13.88671875" customWidth="1"/>
    <col min="4" max="4" width="13.33203125" customWidth="1"/>
    <col min="5" max="5" width="11.88671875" customWidth="1"/>
    <col min="6" max="6" width="14.33203125" customWidth="1"/>
    <col min="7" max="7" width="14.88671875" customWidth="1"/>
    <col min="8" max="8" width="16.88671875" customWidth="1"/>
    <col min="9" max="9" width="13" customWidth="1"/>
    <col min="10" max="26" width="8.6640625" customWidth="1"/>
  </cols>
  <sheetData>
    <row r="1" spans="1:9" ht="31.5" customHeight="1" x14ac:dyDescent="0.3">
      <c r="A1" s="32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4.4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33.75" customHeight="1" x14ac:dyDescent="0.3">
      <c r="A3" s="33" t="s">
        <v>4</v>
      </c>
      <c r="B3" s="34" t="s">
        <v>5</v>
      </c>
      <c r="C3" s="28"/>
      <c r="D3" s="28"/>
      <c r="E3" s="28"/>
      <c r="F3" s="28"/>
      <c r="G3" s="28"/>
      <c r="H3" s="29"/>
      <c r="I3" s="33" t="s">
        <v>6</v>
      </c>
    </row>
    <row r="4" spans="1:9" ht="30" customHeight="1" x14ac:dyDescent="0.3">
      <c r="A4" s="26"/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6"/>
    </row>
    <row r="5" spans="1:9" ht="61.5" customHeight="1" x14ac:dyDescent="0.3">
      <c r="A5" s="4" t="s">
        <v>14</v>
      </c>
      <c r="B5" s="5"/>
      <c r="C5" s="5">
        <v>10</v>
      </c>
      <c r="D5" s="5"/>
      <c r="E5" s="4">
        <v>17</v>
      </c>
      <c r="F5" s="5"/>
      <c r="G5" s="5"/>
      <c r="H5" s="5"/>
      <c r="I5" s="5"/>
    </row>
    <row r="6" spans="1:9" ht="61.5" customHeight="1" x14ac:dyDescent="0.3">
      <c r="A6" s="4" t="s">
        <v>16</v>
      </c>
      <c r="B6" s="5"/>
      <c r="C6" s="5">
        <v>20</v>
      </c>
      <c r="D6" s="5"/>
      <c r="E6" s="4">
        <v>7</v>
      </c>
      <c r="F6" s="5"/>
      <c r="G6" s="5"/>
      <c r="H6" s="5"/>
      <c r="I6" s="5"/>
    </row>
    <row r="7" spans="1:9" ht="61.5" customHeight="1" x14ac:dyDescent="0.3">
      <c r="A7" s="4" t="s">
        <v>17</v>
      </c>
      <c r="B7" s="5"/>
      <c r="C7" s="5">
        <v>20</v>
      </c>
      <c r="D7" s="5"/>
      <c r="E7" s="4">
        <f>27+6</f>
        <v>33</v>
      </c>
      <c r="F7" s="5"/>
      <c r="G7" s="5"/>
      <c r="H7" s="5"/>
      <c r="I7" s="5"/>
    </row>
    <row r="8" spans="1:9" ht="61.5" customHeight="1" x14ac:dyDescent="0.3">
      <c r="A8" s="4" t="s">
        <v>19</v>
      </c>
      <c r="B8" s="5"/>
      <c r="C8" s="5">
        <v>20</v>
      </c>
      <c r="D8" s="5"/>
      <c r="E8" s="4">
        <v>50</v>
      </c>
      <c r="F8" s="5"/>
      <c r="G8" s="5"/>
      <c r="H8" s="5"/>
      <c r="I8" s="5"/>
    </row>
    <row r="9" spans="1:9" ht="43.5" customHeight="1" x14ac:dyDescent="0.3">
      <c r="A9" s="8" t="s">
        <v>20</v>
      </c>
      <c r="B9" s="9"/>
      <c r="C9" s="9">
        <v>4</v>
      </c>
      <c r="D9" s="9"/>
      <c r="E9" s="22">
        <v>4</v>
      </c>
      <c r="F9" s="9"/>
      <c r="G9" s="9"/>
      <c r="H9" s="9"/>
      <c r="I9" s="9"/>
    </row>
    <row r="10" spans="1:9" ht="40.5" customHeight="1" x14ac:dyDescent="0.3">
      <c r="A10" s="8" t="s">
        <v>21</v>
      </c>
      <c r="B10" s="9"/>
      <c r="C10" s="9">
        <v>150</v>
      </c>
      <c r="D10" s="9"/>
      <c r="E10" s="22">
        <v>511</v>
      </c>
      <c r="F10" s="9"/>
      <c r="G10" s="9"/>
      <c r="H10" s="9"/>
      <c r="I10" s="9"/>
    </row>
    <row r="11" spans="1:9" ht="51" customHeight="1" x14ac:dyDescent="0.3">
      <c r="A11" s="10" t="s">
        <v>22</v>
      </c>
      <c r="B11" s="11" t="e">
        <f t="shared" ref="B11:I11" si="0">(B5+B6)/B10</f>
        <v>#DIV/0!</v>
      </c>
      <c r="C11" s="11">
        <f t="shared" si="0"/>
        <v>0.2</v>
      </c>
      <c r="D11" s="11" t="e">
        <f t="shared" si="0"/>
        <v>#DIV/0!</v>
      </c>
      <c r="E11" s="11">
        <f t="shared" si="0"/>
        <v>4.6966731898238745E-2</v>
      </c>
      <c r="F11" s="11" t="e">
        <f t="shared" si="0"/>
        <v>#DIV/0!</v>
      </c>
      <c r="G11" s="11" t="e">
        <f t="shared" si="0"/>
        <v>#DIV/0!</v>
      </c>
      <c r="H11" s="11" t="e">
        <f t="shared" si="0"/>
        <v>#DIV/0!</v>
      </c>
      <c r="I11" s="11" t="e">
        <f t="shared" si="0"/>
        <v>#DIV/0!</v>
      </c>
    </row>
    <row r="12" spans="1:9" ht="45" customHeight="1" x14ac:dyDescent="0.3">
      <c r="A12" s="10" t="s">
        <v>28</v>
      </c>
      <c r="B12" s="11" t="e">
        <f t="shared" ref="B12:I12" si="1">(B7+B8)/B10</f>
        <v>#DIV/0!</v>
      </c>
      <c r="C12" s="11">
        <f t="shared" si="1"/>
        <v>0.26666666666666666</v>
      </c>
      <c r="D12" s="11" t="e">
        <f t="shared" si="1"/>
        <v>#DIV/0!</v>
      </c>
      <c r="E12" s="11">
        <f t="shared" si="1"/>
        <v>0.16242661448140899</v>
      </c>
      <c r="F12" s="11" t="e">
        <f t="shared" si="1"/>
        <v>#DIV/0!</v>
      </c>
      <c r="G12" s="11" t="e">
        <f t="shared" si="1"/>
        <v>#DIV/0!</v>
      </c>
      <c r="H12" s="11" t="e">
        <f t="shared" si="1"/>
        <v>#DIV/0!</v>
      </c>
      <c r="I12" s="11" t="e">
        <f t="shared" si="1"/>
        <v>#DIV/0!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I1"/>
    <mergeCell ref="A3:A4"/>
    <mergeCell ref="B3:H3"/>
    <mergeCell ref="I3:I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G10" sqref="G10"/>
    </sheetView>
  </sheetViews>
  <sheetFormatPr defaultColWidth="14.44140625" defaultRowHeight="15" customHeight="1" x14ac:dyDescent="0.3"/>
  <cols>
    <col min="1" max="1" width="24.88671875" customWidth="1"/>
    <col min="2" max="2" width="14.33203125" customWidth="1"/>
    <col min="3" max="3" width="13.88671875" customWidth="1"/>
    <col min="4" max="4" width="13.33203125" customWidth="1"/>
    <col min="5" max="5" width="11.88671875" customWidth="1"/>
    <col min="6" max="6" width="14.33203125" customWidth="1"/>
    <col min="7" max="7" width="14.88671875" customWidth="1"/>
    <col min="8" max="8" width="16.88671875" customWidth="1"/>
    <col min="9" max="9" width="13" customWidth="1"/>
    <col min="10" max="26" width="8.6640625" customWidth="1"/>
  </cols>
  <sheetData>
    <row r="1" spans="1:9" ht="31.5" customHeight="1" x14ac:dyDescent="0.3">
      <c r="A1" s="35" t="s">
        <v>1</v>
      </c>
      <c r="B1" s="24"/>
      <c r="C1" s="24"/>
      <c r="D1" s="24"/>
      <c r="E1" s="24"/>
      <c r="F1" s="24"/>
      <c r="G1" s="24"/>
      <c r="H1" s="24"/>
      <c r="I1" s="24"/>
    </row>
    <row r="2" spans="1:9" ht="14.4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31.5" customHeight="1" x14ac:dyDescent="0.3">
      <c r="A3" s="36" t="s">
        <v>4</v>
      </c>
      <c r="B3" s="37" t="s">
        <v>5</v>
      </c>
      <c r="C3" s="28"/>
      <c r="D3" s="28"/>
      <c r="E3" s="28"/>
      <c r="F3" s="28"/>
      <c r="G3" s="28"/>
      <c r="H3" s="29"/>
      <c r="I3" s="36" t="s">
        <v>6</v>
      </c>
    </row>
    <row r="4" spans="1:9" ht="30" customHeight="1" x14ac:dyDescent="0.3">
      <c r="A4" s="26"/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26"/>
    </row>
    <row r="5" spans="1:9" ht="61.5" customHeight="1" x14ac:dyDescent="0.3">
      <c r="A5" s="4" t="s">
        <v>15</v>
      </c>
      <c r="B5" s="4"/>
      <c r="C5" s="4">
        <v>1</v>
      </c>
      <c r="D5" s="4"/>
      <c r="E5" s="4">
        <v>1</v>
      </c>
      <c r="F5" s="4"/>
      <c r="G5" s="4"/>
      <c r="H5" s="4"/>
      <c r="I5" s="4"/>
    </row>
    <row r="6" spans="1:9" ht="61.5" customHeight="1" x14ac:dyDescent="0.3">
      <c r="A6" s="4" t="s">
        <v>18</v>
      </c>
      <c r="B6" s="4"/>
      <c r="C6" s="4">
        <v>1</v>
      </c>
      <c r="D6" s="4"/>
      <c r="E6" s="4">
        <v>1</v>
      </c>
      <c r="F6" s="4"/>
      <c r="G6" s="4"/>
      <c r="H6" s="4"/>
      <c r="I6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I1"/>
    <mergeCell ref="A3:A4"/>
    <mergeCell ref="B3:H3"/>
    <mergeCell ref="I3:I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E7" sqref="E7"/>
    </sheetView>
  </sheetViews>
  <sheetFormatPr defaultColWidth="14.44140625" defaultRowHeight="15" customHeight="1" x14ac:dyDescent="0.3"/>
  <cols>
    <col min="1" max="1" width="24.88671875" customWidth="1"/>
    <col min="2" max="2" width="14.33203125" customWidth="1"/>
    <col min="3" max="3" width="13.88671875" customWidth="1"/>
    <col min="4" max="4" width="13.33203125" customWidth="1"/>
    <col min="5" max="5" width="11.88671875" customWidth="1"/>
    <col min="6" max="6" width="14.33203125" customWidth="1"/>
    <col min="7" max="7" width="14.88671875" customWidth="1"/>
    <col min="8" max="8" width="16.88671875" customWidth="1"/>
    <col min="9" max="9" width="13" customWidth="1"/>
    <col min="10" max="26" width="8.6640625" customWidth="1"/>
  </cols>
  <sheetData>
    <row r="1" spans="1:11" ht="31.5" customHeight="1" x14ac:dyDescent="0.3">
      <c r="A1" s="35" t="s">
        <v>37</v>
      </c>
      <c r="B1" s="24"/>
      <c r="C1" s="24"/>
      <c r="D1" s="24"/>
      <c r="E1" s="24"/>
      <c r="F1" s="24"/>
      <c r="G1" s="24"/>
      <c r="H1" s="24"/>
      <c r="I1" s="24"/>
      <c r="K1" s="19"/>
    </row>
    <row r="2" spans="1:11" ht="14.4" x14ac:dyDescent="0.3">
      <c r="A2" s="1"/>
      <c r="B2" s="1"/>
      <c r="C2" s="1"/>
      <c r="D2" s="1"/>
      <c r="E2" s="1"/>
      <c r="F2" s="1"/>
      <c r="G2" s="1"/>
      <c r="H2" s="1"/>
      <c r="I2" s="1"/>
    </row>
    <row r="3" spans="1:11" ht="34.5" customHeight="1" x14ac:dyDescent="0.3">
      <c r="A3" s="38" t="s">
        <v>4</v>
      </c>
      <c r="B3" s="39" t="s">
        <v>5</v>
      </c>
      <c r="C3" s="28"/>
      <c r="D3" s="28"/>
      <c r="E3" s="28"/>
      <c r="F3" s="28"/>
      <c r="G3" s="28"/>
      <c r="H3" s="29"/>
      <c r="I3" s="38" t="s">
        <v>6</v>
      </c>
    </row>
    <row r="4" spans="1:11" ht="30" customHeight="1" x14ac:dyDescent="0.3">
      <c r="A4" s="26"/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6"/>
    </row>
    <row r="5" spans="1:11" ht="61.5" customHeight="1" x14ac:dyDescent="0.3">
      <c r="A5" s="4" t="s">
        <v>38</v>
      </c>
      <c r="B5" s="4"/>
      <c r="C5" s="4">
        <v>3</v>
      </c>
      <c r="D5" s="4"/>
      <c r="E5" s="4">
        <v>1</v>
      </c>
      <c r="F5" s="4"/>
      <c r="G5" s="4">
        <v>1</v>
      </c>
      <c r="H5" s="4"/>
      <c r="I5" s="4"/>
    </row>
    <row r="6" spans="1:11" ht="61.5" customHeight="1" x14ac:dyDescent="0.3">
      <c r="A6" s="4" t="s">
        <v>39</v>
      </c>
      <c r="B6" s="4"/>
      <c r="C6" s="4">
        <v>1</v>
      </c>
      <c r="D6" s="4"/>
      <c r="E6" s="4">
        <v>1</v>
      </c>
      <c r="F6" s="4"/>
      <c r="G6" s="4">
        <v>1</v>
      </c>
      <c r="H6" s="4"/>
      <c r="I6" s="4"/>
    </row>
    <row r="7" spans="1:11" ht="61.5" customHeight="1" x14ac:dyDescent="0.3">
      <c r="A7" s="4" t="s">
        <v>40</v>
      </c>
      <c r="B7" s="4"/>
      <c r="C7" s="4">
        <v>1</v>
      </c>
      <c r="D7" s="4"/>
      <c r="E7" s="4">
        <v>1</v>
      </c>
      <c r="F7" s="4"/>
      <c r="G7" s="4">
        <v>1</v>
      </c>
      <c r="H7" s="4"/>
      <c r="I7" s="4"/>
    </row>
    <row r="8" spans="1:11" ht="61.5" customHeight="1" x14ac:dyDescent="0.3">
      <c r="A8" s="4" t="s">
        <v>41</v>
      </c>
      <c r="B8" s="4"/>
      <c r="C8" s="4">
        <v>1</v>
      </c>
      <c r="D8" s="4"/>
      <c r="E8" s="4">
        <v>1</v>
      </c>
      <c r="F8" s="4"/>
      <c r="G8" s="4">
        <v>1</v>
      </c>
      <c r="H8" s="4"/>
      <c r="I8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I1"/>
    <mergeCell ref="A3:A4"/>
    <mergeCell ref="B3:H3"/>
    <mergeCell ref="I3:I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selection activeCell="E5" sqref="E5"/>
    </sheetView>
  </sheetViews>
  <sheetFormatPr defaultColWidth="14.44140625" defaultRowHeight="15" customHeight="1" x14ac:dyDescent="0.3"/>
  <cols>
    <col min="1" max="1" width="24.88671875" customWidth="1"/>
    <col min="2" max="2" width="14.33203125" customWidth="1"/>
    <col min="3" max="3" width="13.88671875" customWidth="1"/>
    <col min="4" max="4" width="13.33203125" customWidth="1"/>
    <col min="5" max="5" width="11.88671875" customWidth="1"/>
    <col min="6" max="6" width="14.33203125" customWidth="1"/>
    <col min="7" max="7" width="14.88671875" customWidth="1"/>
    <col min="8" max="8" width="16.88671875" customWidth="1"/>
    <col min="9" max="9" width="13" customWidth="1"/>
    <col min="10" max="26" width="8.6640625" customWidth="1"/>
  </cols>
  <sheetData>
    <row r="1" spans="1:9" ht="31.5" customHeight="1" x14ac:dyDescent="0.3">
      <c r="A1" s="35" t="s">
        <v>42</v>
      </c>
      <c r="B1" s="24"/>
      <c r="C1" s="24"/>
      <c r="D1" s="24"/>
      <c r="E1" s="24"/>
      <c r="F1" s="24"/>
      <c r="G1" s="24"/>
      <c r="H1" s="24"/>
      <c r="I1" s="24"/>
    </row>
    <row r="2" spans="1:9" ht="14.4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 x14ac:dyDescent="0.3">
      <c r="A3" s="30" t="s">
        <v>4</v>
      </c>
      <c r="B3" s="31" t="s">
        <v>5</v>
      </c>
      <c r="C3" s="28"/>
      <c r="D3" s="28"/>
      <c r="E3" s="28"/>
      <c r="F3" s="28"/>
      <c r="G3" s="28"/>
      <c r="H3" s="29"/>
      <c r="I3" s="30" t="s">
        <v>6</v>
      </c>
    </row>
    <row r="4" spans="1:9" ht="30" customHeight="1" x14ac:dyDescent="0.3">
      <c r="A4" s="40"/>
      <c r="B4" s="21" t="s">
        <v>7</v>
      </c>
      <c r="C4" s="21" t="s">
        <v>8</v>
      </c>
      <c r="D4" s="21" t="s">
        <v>9</v>
      </c>
      <c r="E4" s="21" t="s">
        <v>10</v>
      </c>
      <c r="F4" s="21" t="s">
        <v>11</v>
      </c>
      <c r="G4" s="21" t="s">
        <v>12</v>
      </c>
      <c r="H4" s="21" t="s">
        <v>13</v>
      </c>
      <c r="I4" s="40"/>
    </row>
    <row r="5" spans="1:9" ht="61.5" customHeight="1" x14ac:dyDescent="0.3">
      <c r="A5" s="4" t="s">
        <v>43</v>
      </c>
      <c r="B5" s="4"/>
      <c r="C5" s="4">
        <v>2</v>
      </c>
      <c r="D5" s="4"/>
      <c r="E5" s="4">
        <v>1</v>
      </c>
      <c r="F5" s="4"/>
      <c r="G5" s="4"/>
      <c r="H5" s="4"/>
      <c r="I5" s="4"/>
    </row>
    <row r="6" spans="1:9" ht="61.5" customHeight="1" x14ac:dyDescent="0.3">
      <c r="A6" s="4" t="s">
        <v>44</v>
      </c>
      <c r="B6" s="4"/>
      <c r="C6" s="4">
        <v>2</v>
      </c>
      <c r="D6" s="4"/>
      <c r="E6" s="4">
        <v>1</v>
      </c>
      <c r="F6" s="4"/>
      <c r="G6" s="4"/>
      <c r="H6" s="4"/>
      <c r="I6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I1"/>
    <mergeCell ref="A3:A4"/>
    <mergeCell ref="B3:H3"/>
    <mergeCell ref="I3:I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Đề tài KHCN</vt:lpstr>
      <vt:lpstr>Bài báo</vt:lpstr>
      <vt:lpstr>Giáo trình, HLS</vt:lpstr>
      <vt:lpstr>Hội thảo</vt:lpstr>
      <vt:lpstr>Hoạt động Hợp tác</vt:lpstr>
      <vt:lpstr>SHTT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Kim Ngan</dc:creator>
  <cp:lastModifiedBy>Ho-Dat TRAN</cp:lastModifiedBy>
  <dcterms:modified xsi:type="dcterms:W3CDTF">2026-10-07T04:20:23Z</dcterms:modified>
</cp:coreProperties>
</file>